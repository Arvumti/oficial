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C7D7DFBA-A3E8-793F-BDBE-722D05640C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ica 2\Desktop\LASECCT LABORATORIO\"/>
    </mc:Choice>
  </mc:AlternateContent>
  <bookViews>
    <workbookView xWindow="390" yWindow="150" windowWidth="14580" windowHeight="8865"/>
  </bookViews>
  <sheets>
    <sheet name="PESO ESP SEC HUM" sheetId="1" r:id="rId1"/>
  </sheets>
  <definedNames>
    <definedName name="_xlnm.Print_Area" localSheetId="0">'PESO ESP SEC HUM'!$A$1:$K$70</definedName>
  </definedNames>
  <calcPr calcId="152511"/>
</workbook>
</file>

<file path=xl/calcChain.xml><?xml version="1.0" encoding="utf-8"?>
<calcChain xmlns="http://schemas.openxmlformats.org/spreadsheetml/2006/main">
  <c r="F29" i="1" l="1"/>
  <c r="G29" i="1"/>
  <c r="H29" i="1"/>
  <c r="E29" i="1"/>
  <c r="F27" i="1"/>
  <c r="G27" i="1"/>
  <c r="H27" i="1"/>
  <c r="E27" i="1"/>
  <c r="J11" i="1" l="1"/>
  <c r="H30" i="1" l="1"/>
  <c r="H22" i="1"/>
  <c r="H23" i="1" s="1"/>
  <c r="E30" i="1"/>
  <c r="F30" i="1"/>
  <c r="G30" i="1"/>
  <c r="H31" i="1" l="1"/>
  <c r="F22" i="1"/>
  <c r="F23" i="1" s="1"/>
  <c r="E22" i="1"/>
  <c r="E23" i="1" s="1"/>
  <c r="G22" i="1" l="1"/>
  <c r="G23" i="1" s="1"/>
  <c r="G31" i="1" s="1"/>
  <c r="N41" i="1" s="1"/>
  <c r="N42" i="1"/>
  <c r="F31" i="1"/>
  <c r="M47" i="1" s="1"/>
  <c r="E31" i="1"/>
  <c r="M46" i="1" s="1"/>
  <c r="M42" i="1"/>
  <c r="M41" i="1"/>
  <c r="M43" i="1" s="1"/>
  <c r="N49" i="1"/>
  <c r="N48" i="1"/>
  <c r="N47" i="1"/>
  <c r="N46" i="1"/>
  <c r="M37" i="1"/>
  <c r="M38" i="1" s="1"/>
  <c r="M36" i="1"/>
  <c r="M49" i="1" l="1"/>
  <c r="M53" i="1" s="1"/>
  <c r="M48" i="1"/>
  <c r="N53" i="1"/>
  <c r="N36" i="1"/>
  <c r="N37" i="1"/>
  <c r="N43" i="1"/>
  <c r="N52" i="1"/>
  <c r="M52" i="1" l="1"/>
  <c r="M55" i="1" s="1"/>
  <c r="N38" i="1"/>
</calcChain>
</file>

<file path=xl/sharedStrings.xml><?xml version="1.0" encoding="utf-8"?>
<sst xmlns="http://schemas.openxmlformats.org/spreadsheetml/2006/main" count="51" uniqueCount="48">
  <si>
    <t>DESCRIPCION DE LA MUESTRA</t>
  </si>
  <si>
    <t>ENSAYE No.</t>
  </si>
  <si>
    <t>FECHA DE INICIACION</t>
  </si>
  <si>
    <t>FECHA DE TERMINACION</t>
  </si>
  <si>
    <t>LABORATORISTA</t>
  </si>
  <si>
    <t>TIPO DE PRUEBA</t>
  </si>
  <si>
    <t>No. DE CAPAS</t>
  </si>
  <si>
    <t>MOLDE No.</t>
  </si>
  <si>
    <t>No. DE GOLPES POR CAPA</t>
  </si>
  <si>
    <t>ALTURA CAIDA</t>
  </si>
  <si>
    <t>VOLUMEN (V)</t>
  </si>
  <si>
    <t>PRUEBA NUMERO</t>
  </si>
  <si>
    <t>PESO MOLDE + SUELO HUMEDO (g)</t>
  </si>
  <si>
    <t>PESO DEL MOLDE (g)</t>
  </si>
  <si>
    <t>PESO SUELO HUMEDO g. (Wm)</t>
  </si>
  <si>
    <t>PESO ESPECIFICO HUMEDO Kg/m' Ym Vm/V</t>
  </si>
  <si>
    <t>CAPSULA NUMERO</t>
  </si>
  <si>
    <t>PESO CAPSULA + SUELO HUMEDO g.</t>
  </si>
  <si>
    <t>PESO CAPSULA + SUELO SECO g.</t>
  </si>
  <si>
    <t>PESO DEL AGUA g.</t>
  </si>
  <si>
    <t>PESO CAPSULA g.</t>
  </si>
  <si>
    <t>PESO SUELO SECO</t>
  </si>
  <si>
    <t>CONTENIDO DE AGUA % W</t>
  </si>
  <si>
    <t>PESO ESPECIFICO SECO Kg m3 (Yd=Ym/lW)</t>
  </si>
  <si>
    <t>CONTENIDO DE AGUA EN %</t>
  </si>
  <si>
    <t>Wopt</t>
  </si>
  <si>
    <t>%</t>
  </si>
  <si>
    <t>Yd max.</t>
  </si>
  <si>
    <t>Kg m</t>
  </si>
  <si>
    <t>X</t>
  </si>
  <si>
    <t>Y</t>
  </si>
  <si>
    <t>maximos</t>
  </si>
  <si>
    <t>minimos</t>
  </si>
  <si>
    <t>PESO PISON</t>
  </si>
  <si>
    <t>OBSERVACIONES Y RECOMENDACIONES:</t>
  </si>
  <si>
    <t>JEFE DE LABORATORIO</t>
  </si>
  <si>
    <t>Vo. Bo</t>
  </si>
  <si>
    <t>F-LAS-EAT-T06</t>
  </si>
  <si>
    <t>DETERMINACION DE LA MASA VOLUMÉTRICA SECA-MÁXIMA Y HUMEDAD ÓPTIMA</t>
  </si>
  <si>
    <t>A</t>
  </si>
  <si>
    <t>TEC. MANUEL MARTINEZ ACOSTA</t>
  </si>
  <si>
    <t xml:space="preserve">AASHTO ESTANDAR </t>
  </si>
  <si>
    <t>OBRA Y LOCALIZACION</t>
  </si>
  <si>
    <t>C. PABLO I. SALCIDO RENTERIA</t>
  </si>
  <si>
    <t>ING. FELIPE DE J. TAMAYO A.</t>
  </si>
  <si>
    <r>
      <t xml:space="preserve">   SE PRESENTAN LOS RESULTADOS DE LA MASA VOLUMÉTRICA SECA MÁXIMA Y LA  HUMEDAD ÓPTIMA DE ESTE MATERIAL OBTENIDAS MEDIANTE LA CURVA DE COMPACTACION DE ACUERDO AL MÉTODO DE MUESTREO Y PRUEBA DE MATERIALES </t>
    </r>
    <r>
      <rPr>
        <b/>
        <sz val="8"/>
        <rFont val="Arial"/>
        <family val="2"/>
      </rPr>
      <t>M-MMP-1-09/06 (NIT - SCT).</t>
    </r>
  </si>
  <si>
    <t>4.54 KG</t>
  </si>
  <si>
    <t>45.7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</si>
</sst>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0"/>
      <name val="Arial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u/>
      <sz val="10"/>
      <name val="Arial"/>
      <family val="2"/>
    </font>
    <font>
      <sz val="7"/>
      <name val="Arial"/>
      <family val="2"/>
    </font>
    <font>
      <u/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9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top" wrapText="1"/>
    </xf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1" xfId="0" applyBorder="1"/>
    <xf numFmtId="0" fontId="0" fillId="0" borderId="10" xfId="0" applyBorder="1"/>
    <xf numFmtId="0" fontId="0" fillId="0" borderId="12" xfId="0" applyBorder="1"/>
    <xf numFmtId="0" fontId="0" fillId="0" borderId="3" xfId="0" applyBorder="1"/>
    <xf numFmtId="0" fontId="0" fillId="0" borderId="13" xfId="0" applyBorder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7" xfId="0" applyFont="1" applyBorder="1"/>
    <xf numFmtId="0" fontId="0" fillId="0" borderId="6" xfId="0" applyBorder="1"/>
    <xf numFmtId="0" fontId="0" fillId="0" borderId="2" xfId="0" applyBorder="1"/>
    <xf numFmtId="0" fontId="0" fillId="0" borderId="5" xfId="0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6" fillId="0" borderId="0" xfId="1" applyFont="1" applyBorder="1" applyAlignment="1">
      <alignment vertical="center"/>
    </xf>
    <xf numFmtId="0" fontId="3" fillId="0" borderId="0" xfId="0" applyFont="1" applyBorder="1" applyAlignment="1">
      <alignment horizont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vertic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right"/>
    </xf>
    <xf numFmtId="16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1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1" fillId="0" borderId="10" xfId="0" applyFont="1" applyBorder="1" applyAlignment="1">
      <alignment horizontal="left" vertical="center" textRotation="90" wrapText="1"/>
    </xf>
    <xf numFmtId="0" fontId="1" fillId="0" borderId="0" xfId="0" applyFont="1" applyBorder="1" applyAlignment="1">
      <alignment horizontal="center"/>
    </xf>
    <xf numFmtId="0" fontId="3" fillId="0" borderId="10" xfId="0" applyFont="1" applyBorder="1" applyAlignment="1">
      <alignment horizontal="justify" vertical="center"/>
    </xf>
    <xf numFmtId="0" fontId="3" fillId="0" borderId="0" xfId="0" applyFont="1" applyBorder="1" applyAlignment="1">
      <alignment horizontal="justify" vertical="center"/>
    </xf>
    <xf numFmtId="0" fontId="3" fillId="0" borderId="11" xfId="0" applyFont="1" applyBorder="1" applyAlignment="1">
      <alignment horizontal="justify" vertical="center"/>
    </xf>
    <xf numFmtId="0" fontId="3" fillId="0" borderId="12" xfId="0" applyFont="1" applyBorder="1" applyAlignment="1">
      <alignment horizontal="justify" vertical="center"/>
    </xf>
    <xf numFmtId="0" fontId="3" fillId="0" borderId="3" xfId="0" applyFont="1" applyBorder="1" applyAlignment="1">
      <alignment horizontal="justify" vertical="center"/>
    </xf>
    <xf numFmtId="0" fontId="3" fillId="0" borderId="13" xfId="0" applyFont="1" applyBorder="1" applyAlignment="1">
      <alignment horizontal="justify" vertical="center"/>
    </xf>
    <xf numFmtId="0" fontId="2" fillId="0" borderId="0" xfId="0" applyFont="1" applyBorder="1" applyAlignment="1">
      <alignment horizontal="left"/>
    </xf>
    <xf numFmtId="0" fontId="9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0" xfId="0" applyFon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8" xfId="0" applyFont="1" applyBorder="1" applyAlignment="1">
      <alignment horizontal="right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13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83089514903016"/>
          <c:y val="3.4356717316372506E-2"/>
          <c:w val="0.85642829171135637"/>
          <c:h val="0.85171763281707691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  <a:miter lim="800000"/>
              </a:ln>
            </c:spPr>
          </c:marker>
          <c:xVal>
            <c:numRef>
              <c:f>'PESO ESP SEC HUM'!$E$30:$I$30</c:f>
              <c:numCache>
                <c:formatCode>0.0</c:formatCode>
                <c:ptCount val="5"/>
                <c:pt idx="0">
                  <c:v>9.0512540894220255</c:v>
                </c:pt>
                <c:pt idx="1">
                  <c:v>10.497237569060774</c:v>
                </c:pt>
                <c:pt idx="2">
                  <c:v>12.994350282485875</c:v>
                </c:pt>
                <c:pt idx="3">
                  <c:v>14.613180515759314</c:v>
                </c:pt>
              </c:numCache>
            </c:numRef>
          </c:xVal>
          <c:yVal>
            <c:numRef>
              <c:f>'PESO ESP SEC HUM'!$E$31:$I$31</c:f>
              <c:numCache>
                <c:formatCode>0</c:formatCode>
                <c:ptCount val="5"/>
                <c:pt idx="0">
                  <c:v>1818.5377049180324</c:v>
                </c:pt>
                <c:pt idx="1">
                  <c:v>1875.2786885245901</c:v>
                </c:pt>
                <c:pt idx="2">
                  <c:v>1897.6721311475412</c:v>
                </c:pt>
                <c:pt idx="3">
                  <c:v>1872.5035128805619</c:v>
                </c:pt>
              </c:numCache>
            </c:numRef>
          </c:yVal>
          <c:smooth val="1"/>
        </c:ser>
        <c:ser>
          <c:idx val="1"/>
          <c:order val="1"/>
          <c:spPr>
            <a:ln w="1587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'PESO ESP SEC HUM'!$M$36:$M$38</c:f>
              <c:numCache>
                <c:formatCode>General</c:formatCode>
                <c:ptCount val="3"/>
                <c:pt idx="0">
                  <c:v>9.0512540894220255</c:v>
                </c:pt>
                <c:pt idx="1">
                  <c:v>10.497237569060774</c:v>
                </c:pt>
                <c:pt idx="2">
                  <c:v>20.994475138121548</c:v>
                </c:pt>
              </c:numCache>
            </c:numRef>
          </c:xVal>
          <c:yVal>
            <c:numRef>
              <c:f>'PESO ESP SEC HUM'!$N$36:$N$38</c:f>
              <c:numCache>
                <c:formatCode>General</c:formatCode>
                <c:ptCount val="3"/>
                <c:pt idx="0">
                  <c:v>1818.5377049180324</c:v>
                </c:pt>
                <c:pt idx="1">
                  <c:v>1875.2786885245901</c:v>
                </c:pt>
                <c:pt idx="2">
                  <c:v>2287.1945874316948</c:v>
                </c:pt>
              </c:numCache>
            </c:numRef>
          </c:yVal>
          <c:smooth val="1"/>
        </c:ser>
        <c:ser>
          <c:idx val="2"/>
          <c:order val="2"/>
          <c:spPr>
            <a:ln w="15875">
              <a:solidFill>
                <a:sysClr val="windowText" lastClr="000000"/>
              </a:solidFill>
              <a:prstDash val="sysDot"/>
            </a:ln>
          </c:spPr>
          <c:marker>
            <c:symbol val="none"/>
          </c:marker>
          <c:xVal>
            <c:numRef>
              <c:f>'PESO ESP SEC HUM'!$M$41:$M$43</c:f>
              <c:numCache>
                <c:formatCode>General</c:formatCode>
                <c:ptCount val="3"/>
                <c:pt idx="0">
                  <c:v>12.994350282485875</c:v>
                </c:pt>
                <c:pt idx="1">
                  <c:v>14.613180515759314</c:v>
                </c:pt>
                <c:pt idx="2">
                  <c:v>2.9943502824858754</c:v>
                </c:pt>
              </c:numCache>
            </c:numRef>
          </c:xVal>
          <c:yVal>
            <c:numRef>
              <c:f>'PESO ESP SEC HUM'!$N$41:$N$43</c:f>
              <c:numCache>
                <c:formatCode>General</c:formatCode>
                <c:ptCount val="3"/>
                <c:pt idx="0">
                  <c:v>1897.6721311475412</c:v>
                </c:pt>
                <c:pt idx="1">
                  <c:v>1872.5035128805619</c:v>
                </c:pt>
                <c:pt idx="2">
                  <c:v>2053.1462367681524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946208"/>
        <c:axId val="170952224"/>
      </c:scatterChart>
      <c:valAx>
        <c:axId val="170946208"/>
        <c:scaling>
          <c:orientation val="minMax"/>
          <c:max val="16"/>
          <c:min val="7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CONTENIDO DE AGUA EN %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lang="es-MX"/>
            </a:pPr>
            <a:endParaRPr lang="es-MX"/>
          </a:p>
        </c:txPr>
        <c:crossAx val="170952224"/>
        <c:crosses val="autoZero"/>
        <c:crossBetween val="midCat"/>
        <c:majorUnit val="1"/>
      </c:valAx>
      <c:valAx>
        <c:axId val="170952224"/>
        <c:scaling>
          <c:orientation val="minMax"/>
          <c:max val="2100"/>
          <c:min val="17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l">
                  <a:defRPr lang="es-MX"/>
                </a:pPr>
                <a:r>
                  <a:rPr lang="en-US"/>
                  <a:t>PESOESPECIFICO EN Kg/m3</a:t>
                </a:r>
              </a:p>
            </c:rich>
          </c:tx>
          <c:layout>
            <c:manualLayout>
              <c:xMode val="edge"/>
              <c:yMode val="edge"/>
              <c:x val="1.454527200493381E-2"/>
              <c:y val="0.2865353758882264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MX"/>
            </a:pPr>
            <a:endParaRPr lang="es-MX"/>
          </a:p>
        </c:txPr>
        <c:crossAx val="170946208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5" Type="http://schemas.microsoft.com/office/2007/relationships/hdphoto" Target="../media/hdphoto2.wdp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273850</xdr:colOff>
      <xdr:row>65</xdr:row>
      <xdr:rowOff>29764</xdr:rowOff>
    </xdr:from>
    <xdr:to>
      <xdr:col>5</xdr:col>
      <xdr:colOff>539676</xdr:colOff>
      <xdr:row>65</xdr:row>
      <xdr:rowOff>506016</xdr:rowOff>
    </xdr:to>
    <xdr:pic>
      <xdr:nvPicPr>
        <xdr:cNvPr id="11" name="10 Imagen" descr="C:\Users\Usuario\AppData\Local\Microsoft\Windows\Temporary Internet Files\Content.Word\Imagen - copia.jpg"/>
        <xdr:cNvPicPr/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5689" y="9765675"/>
          <a:ext cx="884951" cy="476252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38101</xdr:colOff>
      <xdr:row>31</xdr:row>
      <xdr:rowOff>19050</xdr:rowOff>
    </xdr:from>
    <xdr:to>
      <xdr:col>10</xdr:col>
      <xdr:colOff>533401</xdr:colOff>
      <xdr:row>55</xdr:row>
      <xdr:rowOff>95858</xdr:rowOff>
    </xdr:to>
    <xdr:graphicFrame macro="">
      <xdr:nvGraphicFramePr>
        <xdr:cNvPr id="43" name="4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539750</xdr:colOff>
      <xdr:row>41</xdr:row>
      <xdr:rowOff>63500</xdr:rowOff>
    </xdr:from>
    <xdr:to>
      <xdr:col>5</xdr:col>
      <xdr:colOff>539750</xdr:colOff>
      <xdr:row>52</xdr:row>
      <xdr:rowOff>133350</xdr:rowOff>
    </xdr:to>
    <xdr:cxnSp macro="">
      <xdr:nvCxnSpPr>
        <xdr:cNvPr id="44" name="43 Conector recto"/>
        <xdr:cNvCxnSpPr/>
      </xdr:nvCxnSpPr>
      <xdr:spPr bwMode="auto">
        <a:xfrm>
          <a:off x="3905250" y="6413500"/>
          <a:ext cx="0" cy="1746250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258418</xdr:colOff>
      <xdr:row>42</xdr:row>
      <xdr:rowOff>132521</xdr:rowOff>
    </xdr:from>
    <xdr:to>
      <xdr:col>12</xdr:col>
      <xdr:colOff>377687</xdr:colOff>
      <xdr:row>48</xdr:row>
      <xdr:rowOff>53008</xdr:rowOff>
    </xdr:to>
    <xdr:cxnSp macro="">
      <xdr:nvCxnSpPr>
        <xdr:cNvPr id="45" name="44 Conector recto de flecha"/>
        <xdr:cNvCxnSpPr/>
      </xdr:nvCxnSpPr>
      <xdr:spPr bwMode="auto">
        <a:xfrm>
          <a:off x="7116418" y="7607741"/>
          <a:ext cx="911749" cy="926327"/>
        </a:xfrm>
        <a:prstGeom prst="straightConnector1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76200</xdr:colOff>
      <xdr:row>41</xdr:row>
      <xdr:rowOff>50800</xdr:rowOff>
    </xdr:from>
    <xdr:to>
      <xdr:col>5</xdr:col>
      <xdr:colOff>527050</xdr:colOff>
      <xdr:row>41</xdr:row>
      <xdr:rowOff>63500</xdr:rowOff>
    </xdr:to>
    <xdr:cxnSp macro="">
      <xdr:nvCxnSpPr>
        <xdr:cNvPr id="51" name="50 Conector recto"/>
        <xdr:cNvCxnSpPr/>
      </xdr:nvCxnSpPr>
      <xdr:spPr bwMode="auto">
        <a:xfrm flipH="1" flipV="1">
          <a:off x="838200" y="6400800"/>
          <a:ext cx="3054350" cy="12700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47629</xdr:colOff>
      <xdr:row>64</xdr:row>
      <xdr:rowOff>150812</xdr:rowOff>
    </xdr:from>
    <xdr:to>
      <xdr:col>1</xdr:col>
      <xdr:colOff>658817</xdr:colOff>
      <xdr:row>65</xdr:row>
      <xdr:rowOff>515937</xdr:rowOff>
    </xdr:to>
    <xdr:pic>
      <xdr:nvPicPr>
        <xdr:cNvPr id="13" name="12 Imagen" descr="C:\Users\Usuario\AppData\Local\Microsoft\Windows\Temporary Internet Files\Content.Word\Imagen (2).jpg"/>
        <xdr:cNvPicPr/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9" y="9691687"/>
          <a:ext cx="611188" cy="5238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0.29155</cdr:x>
      <cdr:y>0.32478</cdr:y>
    </cdr:from>
    <cdr:to>
      <cdr:x>0.86648</cdr:x>
      <cdr:y>0.52883</cdr:y>
    </cdr:to>
    <cdr:cxnSp macro="">
      <cdr:nvCxnSpPr>
        <cdr:cNvPr id="3" name="2 Conector recto"/>
        <cdr:cNvCxnSpPr/>
      </cdr:nvCxnSpPr>
      <cdr:spPr>
        <a:xfrm xmlns:a="http://schemas.openxmlformats.org/drawingml/2006/main">
          <a:off x="2038349" y="1212850"/>
          <a:ext cx="4019550" cy="7620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0.30881</cdr:x>
      <cdr:y>0.17174</cdr:y>
    </cdr:from>
    <cdr:to>
      <cdr:x>0.8356</cdr:x>
      <cdr:y>0.63595</cdr:y>
    </cdr:to>
    <cdr:cxnSp macro="">
      <cdr:nvCxnSpPr>
        <cdr:cNvPr id="6" name="5 Conector recto"/>
        <cdr:cNvCxnSpPr/>
      </cdr:nvCxnSpPr>
      <cdr:spPr>
        <a:xfrm xmlns:a="http://schemas.openxmlformats.org/drawingml/2006/main" flipH="1">
          <a:off x="2158999" y="641350"/>
          <a:ext cx="3683000" cy="17335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R77"/>
  <sheetViews>
    <sheetView tabSelected="1" view="pageBreakPreview" zoomScaleNormal="98" zoomScaleSheetLayoutView="100" workbookViewId="0">
      <selection activeCell="G10" sqref="G10:I10"/>
    </sheetView>
  </sheetViews>
  <sheetFormatPr baseColWidth="10" defaultRowHeight="12.75" x14ac:dyDescent="0.2"/>
  <cols>
    <col min="4" max="4" width="6.85546875" customWidth="1"/>
    <col min="5" max="9" width="9.28515625" customWidth="1"/>
    <col min="10" max="10" width="9.5703125" customWidth="1"/>
    <col min="11" max="11" width="9.28515625" customWidth="1"/>
  </cols>
  <sheetData>
    <row r="2" spans="1:18" x14ac:dyDescent="0.2">
      <c r="I2" s="29"/>
    </row>
    <row r="5" spans="1:18" ht="0.6" customHeight="1" x14ac:dyDescent="0.2"/>
    <row r="6" spans="1:18" hidden="1" x14ac:dyDescent="0.2"/>
    <row r="7" spans="1:18" x14ac:dyDescent="0.2">
      <c r="B7" s="79" t="s">
        <v>38</v>
      </c>
      <c r="C7" s="80"/>
      <c r="D7" s="80"/>
      <c r="E7" s="80"/>
      <c r="F7" s="80"/>
      <c r="G7" s="80"/>
      <c r="H7" s="80"/>
      <c r="I7" s="80"/>
      <c r="J7" s="81"/>
    </row>
    <row r="8" spans="1:18" ht="2.25" customHeight="1" x14ac:dyDescent="0.2">
      <c r="B8" s="65"/>
      <c r="C8" s="65"/>
      <c r="D8" s="65"/>
      <c r="E8" s="65"/>
      <c r="F8" s="65"/>
      <c r="G8" s="65"/>
      <c r="H8" s="65"/>
      <c r="I8" s="65"/>
      <c r="J8" s="65"/>
    </row>
    <row r="9" spans="1:18" x14ac:dyDescent="0.2">
      <c r="A9" s="45" t="s">
        <v>42</v>
      </c>
      <c r="B9" s="46"/>
      <c r="C9" s="47"/>
      <c r="D9" s="47"/>
      <c r="E9" s="47"/>
      <c r="F9" s="48"/>
      <c r="G9" s="85" t="s">
        <v>1</v>
      </c>
      <c r="H9" s="85"/>
      <c r="I9" s="86"/>
      <c r="J9" s="86"/>
      <c r="K9" s="87"/>
    </row>
    <row r="10" spans="1:18" x14ac:dyDescent="0.2">
      <c r="A10" s="45"/>
      <c r="B10" s="49"/>
      <c r="C10" s="50"/>
      <c r="D10" s="50"/>
      <c r="E10" s="50"/>
      <c r="F10" s="51"/>
      <c r="G10" s="82" t="s">
        <v>2</v>
      </c>
      <c r="H10" s="82"/>
      <c r="I10" s="82"/>
      <c r="J10" s="83">
        <v>41689</v>
      </c>
      <c r="K10" s="84"/>
    </row>
    <row r="11" spans="1:18" ht="24" customHeight="1" x14ac:dyDescent="0.2">
      <c r="A11" s="45"/>
      <c r="B11" s="52"/>
      <c r="C11" s="53"/>
      <c r="D11" s="53"/>
      <c r="E11" s="53"/>
      <c r="F11" s="54"/>
      <c r="G11" s="82" t="s">
        <v>3</v>
      </c>
      <c r="H11" s="82"/>
      <c r="I11" s="82"/>
      <c r="J11" s="83">
        <f>J10+1</f>
        <v>41690</v>
      </c>
      <c r="K11" s="84"/>
      <c r="M11" s="21"/>
      <c r="N11" s="21"/>
      <c r="O11" s="22"/>
      <c r="P11" s="22"/>
      <c r="Q11" s="22"/>
      <c r="R11" s="22"/>
    </row>
    <row r="12" spans="1:18" x14ac:dyDescent="0.2">
      <c r="A12" s="60" t="s">
        <v>0</v>
      </c>
      <c r="B12" s="60"/>
      <c r="C12" s="46"/>
      <c r="D12" s="47"/>
      <c r="E12" s="47"/>
      <c r="F12" s="48"/>
      <c r="G12" s="72" t="s">
        <v>4</v>
      </c>
      <c r="H12" s="72"/>
      <c r="I12" s="88"/>
      <c r="J12" s="88"/>
      <c r="K12" s="89"/>
    </row>
    <row r="13" spans="1:18" x14ac:dyDescent="0.2">
      <c r="A13" s="60"/>
      <c r="B13" s="60"/>
      <c r="C13" s="52"/>
      <c r="D13" s="53"/>
      <c r="E13" s="53"/>
      <c r="F13" s="54"/>
      <c r="G13" s="76"/>
      <c r="H13" s="76"/>
      <c r="I13" s="76"/>
      <c r="J13" s="76"/>
      <c r="K13" s="77"/>
    </row>
    <row r="14" spans="1:18" ht="3.75" customHeight="1" x14ac:dyDescent="0.2">
      <c r="A14" s="27"/>
      <c r="B14" s="27"/>
      <c r="C14" s="27"/>
      <c r="D14" s="31"/>
      <c r="E14" s="31"/>
      <c r="F14" s="31"/>
      <c r="G14" s="30"/>
      <c r="H14" s="30"/>
      <c r="I14" s="30"/>
      <c r="J14" s="30"/>
      <c r="K14" s="30"/>
    </row>
    <row r="15" spans="1:18" x14ac:dyDescent="0.2">
      <c r="A15" s="55" t="s">
        <v>5</v>
      </c>
      <c r="B15" s="56"/>
      <c r="C15" s="57" t="s">
        <v>41</v>
      </c>
      <c r="D15" s="57"/>
      <c r="E15" s="57"/>
      <c r="F15" s="57"/>
      <c r="G15" s="57"/>
      <c r="H15" s="57"/>
      <c r="I15" s="57"/>
      <c r="J15" s="57"/>
      <c r="K15" s="58"/>
    </row>
    <row r="16" spans="1:18" x14ac:dyDescent="0.2">
      <c r="A16" s="75" t="s">
        <v>6</v>
      </c>
      <c r="B16" s="72"/>
      <c r="C16" s="74">
        <v>5</v>
      </c>
      <c r="D16" s="74"/>
      <c r="E16" s="72" t="s">
        <v>33</v>
      </c>
      <c r="F16" s="72"/>
      <c r="G16" s="74" t="s">
        <v>46</v>
      </c>
      <c r="H16" s="74"/>
      <c r="I16" s="72" t="s">
        <v>7</v>
      </c>
      <c r="J16" s="72"/>
      <c r="K16" s="28" t="s">
        <v>39</v>
      </c>
    </row>
    <row r="17" spans="1:11" x14ac:dyDescent="0.2">
      <c r="A17" s="75" t="s">
        <v>8</v>
      </c>
      <c r="B17" s="72"/>
      <c r="C17" s="74">
        <v>56</v>
      </c>
      <c r="D17" s="74"/>
      <c r="E17" s="72" t="s">
        <v>9</v>
      </c>
      <c r="F17" s="72"/>
      <c r="G17" s="74" t="s">
        <v>47</v>
      </c>
      <c r="H17" s="74"/>
      <c r="I17" s="72" t="s">
        <v>10</v>
      </c>
      <c r="J17" s="72"/>
      <c r="K17" s="28">
        <v>2135</v>
      </c>
    </row>
    <row r="18" spans="1:11" hidden="1" x14ac:dyDescent="0.2">
      <c r="A18" s="10"/>
      <c r="B18" s="11"/>
      <c r="C18" s="11"/>
      <c r="D18" s="11"/>
      <c r="E18" s="11"/>
      <c r="F18" s="11"/>
      <c r="G18" s="11"/>
      <c r="H18" s="11"/>
      <c r="I18" s="11"/>
      <c r="J18" s="11"/>
      <c r="K18" s="12"/>
    </row>
    <row r="19" spans="1:11" ht="13.5" customHeight="1" x14ac:dyDescent="0.2">
      <c r="A19" s="73" t="s">
        <v>11</v>
      </c>
      <c r="B19" s="73"/>
      <c r="C19" s="73"/>
      <c r="D19" s="73"/>
      <c r="E19" s="39">
        <v>1</v>
      </c>
      <c r="F19" s="39">
        <v>2</v>
      </c>
      <c r="G19" s="39">
        <v>3</v>
      </c>
      <c r="H19" s="39">
        <v>4</v>
      </c>
      <c r="I19" s="39">
        <v>5</v>
      </c>
      <c r="J19" s="39">
        <v>6</v>
      </c>
      <c r="K19" s="39">
        <v>7</v>
      </c>
    </row>
    <row r="20" spans="1:11" ht="15" customHeight="1" x14ac:dyDescent="0.2">
      <c r="A20" s="59" t="s">
        <v>12</v>
      </c>
      <c r="B20" s="59"/>
      <c r="C20" s="59"/>
      <c r="D20" s="59"/>
      <c r="E20" s="40">
        <v>7802</v>
      </c>
      <c r="F20" s="40">
        <v>7992</v>
      </c>
      <c r="G20" s="40">
        <v>8146</v>
      </c>
      <c r="H20" s="40">
        <v>8150</v>
      </c>
      <c r="I20" s="40"/>
      <c r="J20" s="40"/>
      <c r="K20" s="40"/>
    </row>
    <row r="21" spans="1:11" ht="15" customHeight="1" x14ac:dyDescent="0.2">
      <c r="A21" s="59" t="s">
        <v>13</v>
      </c>
      <c r="B21" s="59"/>
      <c r="C21" s="59"/>
      <c r="D21" s="59"/>
      <c r="E21" s="40">
        <v>3568</v>
      </c>
      <c r="F21" s="40">
        <v>3568</v>
      </c>
      <c r="G21" s="40">
        <v>3568</v>
      </c>
      <c r="H21" s="40">
        <v>3568</v>
      </c>
      <c r="I21" s="40"/>
      <c r="J21" s="40"/>
      <c r="K21" s="40"/>
    </row>
    <row r="22" spans="1:11" ht="15" customHeight="1" x14ac:dyDescent="0.2">
      <c r="A22" s="59" t="s">
        <v>14</v>
      </c>
      <c r="B22" s="59"/>
      <c r="C22" s="59"/>
      <c r="D22" s="59"/>
      <c r="E22" s="40">
        <f>E20-E21</f>
        <v>4234</v>
      </c>
      <c r="F22" s="40">
        <f>F20-F21</f>
        <v>4424</v>
      </c>
      <c r="G22" s="40">
        <f>G20-G21</f>
        <v>4578</v>
      </c>
      <c r="H22" s="40">
        <f>H20-H21</f>
        <v>4582</v>
      </c>
      <c r="I22" s="40"/>
      <c r="J22" s="40"/>
      <c r="K22" s="40"/>
    </row>
    <row r="23" spans="1:11" ht="15" customHeight="1" x14ac:dyDescent="0.2">
      <c r="A23" s="59" t="s">
        <v>15</v>
      </c>
      <c r="B23" s="59"/>
      <c r="C23" s="59"/>
      <c r="D23" s="59"/>
      <c r="E23" s="41">
        <f>E22/K17*1000</f>
        <v>1983.1381733021076</v>
      </c>
      <c r="F23" s="41">
        <f>F22/K17*1000</f>
        <v>2072.1311475409834</v>
      </c>
      <c r="G23" s="41">
        <f>G22/K17*1000</f>
        <v>2144.2622950819673</v>
      </c>
      <c r="H23" s="41">
        <f>H22/K17*1000</f>
        <v>2146.1358313817327</v>
      </c>
      <c r="I23" s="40"/>
      <c r="J23" s="40"/>
      <c r="K23" s="40"/>
    </row>
    <row r="24" spans="1:11" ht="15" customHeight="1" x14ac:dyDescent="0.2">
      <c r="A24" s="59" t="s">
        <v>16</v>
      </c>
      <c r="B24" s="59"/>
      <c r="C24" s="59"/>
      <c r="D24" s="59"/>
      <c r="E24" s="42"/>
      <c r="F24" s="42"/>
      <c r="G24" s="42"/>
      <c r="H24" s="42"/>
      <c r="I24" s="40"/>
      <c r="J24" s="40"/>
      <c r="K24" s="40"/>
    </row>
    <row r="25" spans="1:11" ht="15" customHeight="1" x14ac:dyDescent="0.2">
      <c r="A25" s="59" t="s">
        <v>17</v>
      </c>
      <c r="B25" s="59"/>
      <c r="C25" s="59"/>
      <c r="D25" s="59"/>
      <c r="E25" s="40">
        <v>200</v>
      </c>
      <c r="F25" s="40">
        <v>200</v>
      </c>
      <c r="G25" s="40">
        <v>200</v>
      </c>
      <c r="H25" s="40">
        <v>200</v>
      </c>
      <c r="I25" s="40"/>
      <c r="J25" s="40"/>
      <c r="K25" s="40"/>
    </row>
    <row r="26" spans="1:11" ht="15" customHeight="1" x14ac:dyDescent="0.2">
      <c r="A26" s="59" t="s">
        <v>18</v>
      </c>
      <c r="B26" s="59"/>
      <c r="C26" s="59"/>
      <c r="D26" s="59"/>
      <c r="E26" s="40">
        <v>183.4</v>
      </c>
      <c r="F26" s="40">
        <v>181</v>
      </c>
      <c r="G26" s="40">
        <v>177</v>
      </c>
      <c r="H26" s="40">
        <v>174.5</v>
      </c>
      <c r="I26" s="40"/>
      <c r="J26" s="40"/>
      <c r="K26" s="40"/>
    </row>
    <row r="27" spans="1:11" ht="15" customHeight="1" x14ac:dyDescent="0.2">
      <c r="A27" s="59" t="s">
        <v>19</v>
      </c>
      <c r="B27" s="59"/>
      <c r="C27" s="59"/>
      <c r="D27" s="59"/>
      <c r="E27" s="43">
        <f>E25-E26</f>
        <v>16.599999999999994</v>
      </c>
      <c r="F27" s="43">
        <f t="shared" ref="F27:H27" si="0">F25-F26</f>
        <v>19</v>
      </c>
      <c r="G27" s="43">
        <f t="shared" si="0"/>
        <v>23</v>
      </c>
      <c r="H27" s="43">
        <f t="shared" si="0"/>
        <v>25.5</v>
      </c>
      <c r="I27" s="40"/>
      <c r="J27" s="40"/>
      <c r="K27" s="40"/>
    </row>
    <row r="28" spans="1:11" ht="15" customHeight="1" x14ac:dyDescent="0.2">
      <c r="A28" s="59" t="s">
        <v>20</v>
      </c>
      <c r="B28" s="59"/>
      <c r="C28" s="59"/>
      <c r="D28" s="59"/>
      <c r="E28" s="40"/>
      <c r="F28" s="40"/>
      <c r="G28" s="40"/>
      <c r="H28" s="40"/>
      <c r="I28" s="40"/>
      <c r="J28" s="40"/>
      <c r="K28" s="40"/>
    </row>
    <row r="29" spans="1:11" ht="15" customHeight="1" x14ac:dyDescent="0.2">
      <c r="A29" s="59" t="s">
        <v>21</v>
      </c>
      <c r="B29" s="59"/>
      <c r="C29" s="59"/>
      <c r="D29" s="59"/>
      <c r="E29" s="44">
        <f>E26</f>
        <v>183.4</v>
      </c>
      <c r="F29" s="44">
        <f t="shared" ref="F29:H29" si="1">F26</f>
        <v>181</v>
      </c>
      <c r="G29" s="44">
        <f t="shared" si="1"/>
        <v>177</v>
      </c>
      <c r="H29" s="44">
        <f t="shared" si="1"/>
        <v>174.5</v>
      </c>
      <c r="I29" s="40"/>
      <c r="J29" s="40"/>
      <c r="K29" s="40"/>
    </row>
    <row r="30" spans="1:11" ht="15" customHeight="1" x14ac:dyDescent="0.2">
      <c r="A30" s="59" t="s">
        <v>22</v>
      </c>
      <c r="B30" s="59"/>
      <c r="C30" s="59"/>
      <c r="D30" s="59"/>
      <c r="E30" s="44">
        <f>((E25-E29)/E29)*100</f>
        <v>9.0512540894220255</v>
      </c>
      <c r="F30" s="44">
        <f t="shared" ref="F30:H30" si="2">((F25-F29)/F29)*100</f>
        <v>10.497237569060774</v>
      </c>
      <c r="G30" s="44">
        <f t="shared" si="2"/>
        <v>12.994350282485875</v>
      </c>
      <c r="H30" s="44">
        <f t="shared" si="2"/>
        <v>14.613180515759314</v>
      </c>
      <c r="I30" s="40"/>
      <c r="J30" s="40"/>
      <c r="K30" s="40"/>
    </row>
    <row r="31" spans="1:11" ht="15" customHeight="1" x14ac:dyDescent="0.2">
      <c r="A31" s="59" t="s">
        <v>23</v>
      </c>
      <c r="B31" s="59"/>
      <c r="C31" s="59"/>
      <c r="D31" s="59"/>
      <c r="E31" s="41">
        <f>(E23/(100+E30))*100</f>
        <v>1818.5377049180324</v>
      </c>
      <c r="F31" s="41">
        <f t="shared" ref="F31:H31" si="3">(F23/(100+F30))*100</f>
        <v>1875.2786885245901</v>
      </c>
      <c r="G31" s="41">
        <f t="shared" si="3"/>
        <v>1897.6721311475412</v>
      </c>
      <c r="H31" s="41">
        <f t="shared" si="3"/>
        <v>1872.5035128805619</v>
      </c>
      <c r="I31" s="40"/>
      <c r="J31" s="40"/>
      <c r="K31" s="40"/>
    </row>
    <row r="32" spans="1:11" ht="12.6" customHeight="1" x14ac:dyDescent="0.2">
      <c r="A32" s="13"/>
      <c r="B32" s="14"/>
      <c r="C32" s="14"/>
      <c r="D32" s="14"/>
      <c r="E32" s="26"/>
      <c r="F32" s="26"/>
      <c r="G32" s="26"/>
      <c r="H32" s="26"/>
      <c r="I32" s="15"/>
      <c r="J32" s="15"/>
      <c r="K32" s="16"/>
    </row>
    <row r="33" spans="1:14" ht="12.6" customHeight="1" x14ac:dyDescent="0.2">
      <c r="A33" s="9"/>
      <c r="B33" s="7"/>
      <c r="C33" s="7"/>
      <c r="D33" s="7"/>
      <c r="E33" s="7"/>
      <c r="F33" s="7"/>
      <c r="G33" s="7"/>
      <c r="H33" s="7"/>
      <c r="I33" s="7"/>
      <c r="J33" s="7"/>
      <c r="K33" s="8"/>
    </row>
    <row r="34" spans="1:14" ht="12.6" customHeight="1" x14ac:dyDescent="0.2">
      <c r="A34" s="64"/>
      <c r="B34" s="7"/>
      <c r="C34" s="7"/>
      <c r="D34" s="7"/>
      <c r="E34" s="7"/>
      <c r="F34" s="7"/>
      <c r="G34" s="7"/>
      <c r="H34" s="7"/>
      <c r="I34" s="7"/>
      <c r="J34" s="7"/>
      <c r="K34" s="8"/>
    </row>
    <row r="35" spans="1:14" ht="12.6" customHeight="1" x14ac:dyDescent="0.2">
      <c r="A35" s="64"/>
      <c r="B35" s="7"/>
      <c r="C35" s="7"/>
      <c r="D35" s="7"/>
      <c r="E35" s="7"/>
      <c r="F35" s="7"/>
      <c r="G35" s="7"/>
      <c r="H35" s="7"/>
      <c r="I35" s="7"/>
      <c r="J35" s="7"/>
      <c r="K35" s="8"/>
      <c r="M35" s="2" t="s">
        <v>29</v>
      </c>
      <c r="N35" s="3" t="s">
        <v>30</v>
      </c>
    </row>
    <row r="36" spans="1:14" ht="12.6" customHeight="1" x14ac:dyDescent="0.2">
      <c r="A36" s="64"/>
      <c r="B36" s="7"/>
      <c r="C36" s="7"/>
      <c r="D36" s="7"/>
      <c r="E36" s="7"/>
      <c r="F36" s="7"/>
      <c r="G36" s="7"/>
      <c r="H36" s="7"/>
      <c r="I36" s="7"/>
      <c r="J36" s="7"/>
      <c r="K36" s="8"/>
      <c r="M36">
        <f>E30</f>
        <v>9.0512540894220255</v>
      </c>
      <c r="N36">
        <f>E31</f>
        <v>1818.5377049180324</v>
      </c>
    </row>
    <row r="37" spans="1:14" ht="12.6" customHeight="1" x14ac:dyDescent="0.2">
      <c r="A37" s="64"/>
      <c r="B37" s="7"/>
      <c r="C37" s="7"/>
      <c r="D37" s="7"/>
      <c r="E37" s="7"/>
      <c r="F37" s="7"/>
      <c r="G37" s="7"/>
      <c r="H37" s="7"/>
      <c r="I37" s="7"/>
      <c r="J37" s="7"/>
      <c r="K37" s="8"/>
      <c r="M37">
        <f>F30</f>
        <v>10.497237569060774</v>
      </c>
      <c r="N37">
        <f>F31</f>
        <v>1875.2786885245901</v>
      </c>
    </row>
    <row r="38" spans="1:14" ht="12.6" customHeight="1" x14ac:dyDescent="0.2">
      <c r="A38" s="64"/>
      <c r="B38" s="7"/>
      <c r="C38" s="7"/>
      <c r="D38" s="7"/>
      <c r="E38" s="7"/>
      <c r="F38" s="7"/>
      <c r="G38" s="7"/>
      <c r="H38" s="7"/>
      <c r="I38" s="7"/>
      <c r="J38" s="7"/>
      <c r="K38" s="8"/>
      <c r="M38">
        <f>M37*2</f>
        <v>20.994475138121548</v>
      </c>
      <c r="N38">
        <f>(((N37-N36)/(M37-M36))*(M38-M36))+N36</f>
        <v>2287.1945874316948</v>
      </c>
    </row>
    <row r="39" spans="1:14" ht="12.6" customHeight="1" x14ac:dyDescent="0.2">
      <c r="A39" s="64"/>
      <c r="B39" s="7"/>
      <c r="C39" s="7"/>
      <c r="D39" s="7"/>
      <c r="E39" s="7"/>
      <c r="F39" s="7"/>
      <c r="G39" s="7"/>
      <c r="H39" s="7"/>
      <c r="I39" s="7"/>
      <c r="J39" s="7"/>
      <c r="K39" s="8"/>
    </row>
    <row r="40" spans="1:14" ht="12.6" customHeight="1" x14ac:dyDescent="0.2">
      <c r="A40" s="64"/>
      <c r="B40" s="7"/>
      <c r="C40" s="7"/>
      <c r="D40" s="7"/>
      <c r="E40" s="7"/>
      <c r="F40" s="7"/>
      <c r="G40" s="7"/>
      <c r="H40" s="7"/>
      <c r="I40" s="7"/>
      <c r="J40" s="7"/>
      <c r="K40" s="8"/>
      <c r="M40" t="s">
        <v>29</v>
      </c>
      <c r="N40" t="s">
        <v>30</v>
      </c>
    </row>
    <row r="41" spans="1:14" ht="12.6" customHeight="1" x14ac:dyDescent="0.2">
      <c r="A41" s="64"/>
      <c r="B41" s="7"/>
      <c r="C41" s="7"/>
      <c r="D41" s="7"/>
      <c r="E41" s="7"/>
      <c r="F41" s="7"/>
      <c r="G41" s="7"/>
      <c r="H41" s="7"/>
      <c r="I41" s="7"/>
      <c r="J41" s="7"/>
      <c r="K41" s="8"/>
      <c r="M41">
        <f>G30</f>
        <v>12.994350282485875</v>
      </c>
      <c r="N41">
        <f>G31</f>
        <v>1897.6721311475412</v>
      </c>
    </row>
    <row r="42" spans="1:14" ht="12.6" customHeight="1" x14ac:dyDescent="0.2">
      <c r="A42" s="64"/>
      <c r="B42" s="7"/>
      <c r="C42" s="7"/>
      <c r="D42" s="7"/>
      <c r="E42" s="7"/>
      <c r="F42" s="7"/>
      <c r="G42" s="7"/>
      <c r="H42" s="7"/>
      <c r="I42" s="7"/>
      <c r="J42" s="7"/>
      <c r="K42" s="8"/>
      <c r="M42">
        <f>H30</f>
        <v>14.613180515759314</v>
      </c>
      <c r="N42">
        <f>H31</f>
        <v>1872.5035128805619</v>
      </c>
    </row>
    <row r="43" spans="1:14" ht="12.6" customHeight="1" x14ac:dyDescent="0.2">
      <c r="A43" s="64"/>
      <c r="B43" s="7"/>
      <c r="C43" s="7"/>
      <c r="D43" s="7"/>
      <c r="E43" s="7"/>
      <c r="F43" s="7"/>
      <c r="G43" s="7"/>
      <c r="H43" s="7"/>
      <c r="I43" s="7"/>
      <c r="J43" s="7"/>
      <c r="K43" s="8"/>
      <c r="M43">
        <f>M41-10</f>
        <v>2.9943502824858754</v>
      </c>
      <c r="N43">
        <f>(((N42-N41)/(M42-M41))*(M43-M41))+N41</f>
        <v>2053.1462367681524</v>
      </c>
    </row>
    <row r="44" spans="1:14" ht="12.6" customHeight="1" x14ac:dyDescent="0.2">
      <c r="A44" s="64"/>
      <c r="B44" s="7"/>
      <c r="C44" s="7"/>
      <c r="D44" s="7"/>
      <c r="E44" s="7"/>
      <c r="F44" s="7"/>
      <c r="G44" s="7"/>
      <c r="H44" s="7"/>
      <c r="I44" s="7"/>
      <c r="J44" s="7"/>
      <c r="K44" s="8"/>
    </row>
    <row r="45" spans="1:14" ht="12.6" customHeight="1" x14ac:dyDescent="0.2">
      <c r="A45" s="64"/>
      <c r="B45" s="7"/>
      <c r="C45" s="7"/>
      <c r="D45" s="7"/>
      <c r="E45" s="7"/>
      <c r="F45" s="7"/>
      <c r="G45" s="7"/>
      <c r="H45" s="7"/>
      <c r="I45" s="7"/>
      <c r="J45" s="7"/>
      <c r="K45" s="8"/>
    </row>
    <row r="46" spans="1:14" ht="12.6" customHeight="1" x14ac:dyDescent="0.2">
      <c r="A46" s="64"/>
      <c r="B46" s="7"/>
      <c r="C46" s="7"/>
      <c r="D46" s="7"/>
      <c r="E46" s="7"/>
      <c r="F46" s="7"/>
      <c r="G46" s="7"/>
      <c r="H46" s="7"/>
      <c r="I46" s="7"/>
      <c r="J46" s="7"/>
      <c r="K46" s="8"/>
      <c r="M46">
        <f>E31</f>
        <v>1818.5377049180324</v>
      </c>
      <c r="N46">
        <f>E30</f>
        <v>9.0512540894220255</v>
      </c>
    </row>
    <row r="47" spans="1:14" ht="12.6" customHeight="1" x14ac:dyDescent="0.2">
      <c r="A47" s="64"/>
      <c r="B47" s="7"/>
      <c r="C47" s="7"/>
      <c r="D47" s="7"/>
      <c r="E47" s="7"/>
      <c r="F47" s="7"/>
      <c r="G47" s="7"/>
      <c r="H47" s="7"/>
      <c r="I47" s="7"/>
      <c r="J47" s="7"/>
      <c r="K47" s="8"/>
      <c r="M47">
        <f>F31</f>
        <v>1875.2786885245901</v>
      </c>
      <c r="N47">
        <f>F30</f>
        <v>10.497237569060774</v>
      </c>
    </row>
    <row r="48" spans="1:14" ht="12.6" customHeight="1" x14ac:dyDescent="0.2">
      <c r="A48" s="64"/>
      <c r="B48" s="7"/>
      <c r="C48" s="7"/>
      <c r="D48" s="7"/>
      <c r="E48" s="7"/>
      <c r="F48" s="7"/>
      <c r="G48" s="7"/>
      <c r="H48" s="7"/>
      <c r="I48" s="7"/>
      <c r="J48" s="7"/>
      <c r="K48" s="8"/>
      <c r="M48">
        <f>G31</f>
        <v>1897.6721311475412</v>
      </c>
      <c r="N48">
        <f>G30</f>
        <v>12.994350282485875</v>
      </c>
    </row>
    <row r="49" spans="1:15" ht="12.6" customHeight="1" x14ac:dyDescent="0.2">
      <c r="A49" s="64"/>
      <c r="B49" s="7"/>
      <c r="C49" s="7"/>
      <c r="D49" s="7"/>
      <c r="E49" s="7"/>
      <c r="F49" s="7"/>
      <c r="G49" s="7"/>
      <c r="H49" s="7"/>
      <c r="I49" s="7"/>
      <c r="J49" s="7"/>
      <c r="K49" s="8"/>
      <c r="M49">
        <f>H31</f>
        <v>1872.5035128805619</v>
      </c>
      <c r="N49">
        <f>H30</f>
        <v>14.613180515759314</v>
      </c>
    </row>
    <row r="50" spans="1:15" ht="12.6" customHeight="1" x14ac:dyDescent="0.2">
      <c r="A50" s="64"/>
      <c r="B50" s="7"/>
      <c r="C50" s="7"/>
      <c r="D50" s="7"/>
      <c r="E50" s="7"/>
      <c r="F50" s="7"/>
      <c r="G50" s="7"/>
      <c r="H50" s="7"/>
      <c r="I50" s="7"/>
      <c r="J50" s="7"/>
      <c r="K50" s="8"/>
    </row>
    <row r="51" spans="1:15" ht="12.6" customHeight="1" x14ac:dyDescent="0.2">
      <c r="A51" s="9"/>
      <c r="B51" s="7"/>
      <c r="C51" s="7"/>
      <c r="D51" s="7"/>
      <c r="E51" s="7"/>
      <c r="F51" s="7"/>
      <c r="G51" s="7"/>
      <c r="H51" s="7"/>
      <c r="I51" s="7"/>
      <c r="J51" s="7"/>
      <c r="K51" s="8"/>
    </row>
    <row r="52" spans="1:15" ht="12.6" customHeight="1" x14ac:dyDescent="0.2">
      <c r="A52" s="9"/>
      <c r="B52" s="7"/>
      <c r="C52" s="7"/>
      <c r="D52" s="7"/>
      <c r="E52" s="7"/>
      <c r="F52" s="7"/>
      <c r="G52" s="7"/>
      <c r="H52" s="7"/>
      <c r="I52" s="7"/>
      <c r="J52" s="7"/>
      <c r="K52" s="8"/>
      <c r="M52">
        <f>MAX(M46:M50)</f>
        <v>1897.6721311475412</v>
      </c>
      <c r="N52">
        <f>MAX(N46:N50)</f>
        <v>14.613180515759314</v>
      </c>
      <c r="O52" s="1" t="s">
        <v>31</v>
      </c>
    </row>
    <row r="53" spans="1:15" ht="12.6" customHeight="1" x14ac:dyDescent="0.2">
      <c r="A53" s="9"/>
      <c r="B53" s="7"/>
      <c r="C53" s="7"/>
      <c r="D53" s="7"/>
      <c r="E53" s="7"/>
      <c r="F53" s="7"/>
      <c r="G53" s="7"/>
      <c r="H53" s="7"/>
      <c r="I53" s="7"/>
      <c r="J53" s="7"/>
      <c r="K53" s="8"/>
      <c r="M53">
        <f>MIN(M46:M49)</f>
        <v>1818.5377049180324</v>
      </c>
      <c r="N53">
        <f>MIN(N46:N49)</f>
        <v>9.0512540894220255</v>
      </c>
      <c r="O53" s="1" t="s">
        <v>32</v>
      </c>
    </row>
    <row r="54" spans="1:15" ht="12.6" customHeight="1" x14ac:dyDescent="0.2">
      <c r="A54" s="9"/>
      <c r="B54" s="7"/>
      <c r="C54" s="7"/>
      <c r="D54" s="7"/>
      <c r="E54" s="7"/>
      <c r="F54" s="7"/>
      <c r="G54" s="7"/>
      <c r="H54" s="7"/>
      <c r="I54" s="7"/>
      <c r="J54" s="7"/>
      <c r="K54" s="8"/>
    </row>
    <row r="55" spans="1:15" ht="12.6" customHeight="1" x14ac:dyDescent="0.2">
      <c r="A55" s="9"/>
      <c r="B55" s="7"/>
      <c r="C55" s="65" t="s">
        <v>24</v>
      </c>
      <c r="D55" s="65"/>
      <c r="E55" s="65"/>
      <c r="F55" s="65"/>
      <c r="G55" s="65"/>
      <c r="H55" s="65"/>
      <c r="I55" s="7"/>
      <c r="J55" s="7"/>
      <c r="K55" s="8"/>
      <c r="M55">
        <f>M52</f>
        <v>1897.6721311475412</v>
      </c>
    </row>
    <row r="56" spans="1:15" ht="12.6" customHeight="1" x14ac:dyDescent="0.2">
      <c r="A56" s="9"/>
      <c r="B56" s="7"/>
      <c r="C56" s="7"/>
      <c r="D56" s="7"/>
      <c r="E56" s="7"/>
      <c r="F56" s="7"/>
      <c r="G56" s="7"/>
      <c r="H56" s="7"/>
      <c r="I56" s="7"/>
      <c r="J56" s="7"/>
      <c r="K56" s="8"/>
    </row>
    <row r="57" spans="1:15" ht="12.6" customHeight="1" thickBot="1" x14ac:dyDescent="0.25">
      <c r="A57" s="9"/>
      <c r="B57" s="32"/>
      <c r="C57" s="33" t="s">
        <v>25</v>
      </c>
      <c r="D57" s="34">
        <v>11.5</v>
      </c>
      <c r="E57" s="32" t="s">
        <v>26</v>
      </c>
      <c r="F57" s="32"/>
      <c r="G57" s="33" t="s">
        <v>27</v>
      </c>
      <c r="H57" s="35">
        <v>1920</v>
      </c>
      <c r="I57" s="32" t="s">
        <v>28</v>
      </c>
      <c r="J57" s="32"/>
      <c r="K57" s="36"/>
    </row>
    <row r="58" spans="1:15" ht="12.6" customHeight="1" x14ac:dyDescent="0.2">
      <c r="A58" s="9"/>
      <c r="B58" s="32"/>
      <c r="C58" s="33"/>
      <c r="D58" s="24"/>
      <c r="E58" s="32"/>
      <c r="F58" s="32"/>
      <c r="G58" s="33"/>
      <c r="H58" s="24"/>
      <c r="I58" s="32"/>
      <c r="J58" s="32"/>
      <c r="K58" s="36"/>
    </row>
    <row r="59" spans="1:15" ht="3.6" customHeight="1" x14ac:dyDescent="0.2">
      <c r="A59" s="18"/>
      <c r="B59" s="19"/>
      <c r="C59" s="19"/>
      <c r="D59" s="19"/>
      <c r="E59" s="19"/>
      <c r="F59" s="19"/>
      <c r="G59" s="19"/>
      <c r="H59" s="19"/>
      <c r="I59" s="19"/>
      <c r="J59" s="19"/>
      <c r="K59" s="20"/>
    </row>
    <row r="60" spans="1:15" x14ac:dyDescent="0.2">
      <c r="A60" s="17" t="s">
        <v>34</v>
      </c>
      <c r="B60" s="5"/>
      <c r="C60" s="5"/>
      <c r="D60" s="5"/>
      <c r="E60" s="5"/>
      <c r="F60" s="5"/>
      <c r="G60" s="5"/>
      <c r="H60" s="5"/>
      <c r="I60" s="5"/>
      <c r="J60" s="5"/>
      <c r="K60" s="6"/>
    </row>
    <row r="61" spans="1:15" ht="13.15" customHeight="1" x14ac:dyDescent="0.2">
      <c r="A61" s="66" t="s">
        <v>45</v>
      </c>
      <c r="B61" s="67"/>
      <c r="C61" s="67"/>
      <c r="D61" s="67"/>
      <c r="E61" s="67"/>
      <c r="F61" s="67"/>
      <c r="G61" s="67"/>
      <c r="H61" s="67"/>
      <c r="I61" s="67"/>
      <c r="J61" s="67"/>
      <c r="K61" s="68"/>
      <c r="L61" s="4"/>
      <c r="M61" s="4"/>
      <c r="N61" s="4"/>
    </row>
    <row r="62" spans="1:15" ht="11.25" customHeight="1" x14ac:dyDescent="0.2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8"/>
      <c r="L62" s="4"/>
      <c r="M62" s="4"/>
      <c r="N62" s="4"/>
    </row>
    <row r="63" spans="1:15" x14ac:dyDescent="0.2">
      <c r="A63" s="69"/>
      <c r="B63" s="70"/>
      <c r="C63" s="70"/>
      <c r="D63" s="70"/>
      <c r="E63" s="70"/>
      <c r="F63" s="70"/>
      <c r="G63" s="70"/>
      <c r="H63" s="70"/>
      <c r="I63" s="70"/>
      <c r="J63" s="70"/>
      <c r="K63" s="71"/>
      <c r="L63" s="4"/>
      <c r="M63" s="4"/>
      <c r="N63" s="4"/>
    </row>
    <row r="64" spans="1:15" ht="5.45" customHeight="1" x14ac:dyDescent="0.2"/>
    <row r="65" spans="1:12" x14ac:dyDescent="0.2">
      <c r="A65" s="61" t="s">
        <v>4</v>
      </c>
      <c r="B65" s="62"/>
      <c r="C65" s="63"/>
      <c r="D65" s="61" t="s">
        <v>35</v>
      </c>
      <c r="E65" s="62"/>
      <c r="F65" s="62"/>
      <c r="G65" s="63"/>
      <c r="H65" s="61" t="s">
        <v>36</v>
      </c>
      <c r="I65" s="62"/>
      <c r="J65" s="62"/>
      <c r="K65" s="63"/>
    </row>
    <row r="66" spans="1:12" ht="41.25" customHeight="1" x14ac:dyDescent="0.2">
      <c r="A66" s="37"/>
      <c r="B66" s="31"/>
      <c r="C66" s="38"/>
      <c r="D66" s="37"/>
      <c r="E66" s="31"/>
      <c r="F66" s="31"/>
      <c r="G66" s="38"/>
      <c r="H66" s="31"/>
      <c r="I66" s="31"/>
      <c r="J66" s="31"/>
      <c r="K66" s="38"/>
    </row>
    <row r="67" spans="1:12" ht="13.15" customHeight="1" x14ac:dyDescent="0.2">
      <c r="A67" s="90" t="s">
        <v>43</v>
      </c>
      <c r="B67" s="88"/>
      <c r="C67" s="89"/>
      <c r="D67" s="91" t="s">
        <v>40</v>
      </c>
      <c r="E67" s="92"/>
      <c r="F67" s="92"/>
      <c r="G67" s="93"/>
      <c r="H67" s="94" t="s">
        <v>44</v>
      </c>
      <c r="I67" s="95"/>
      <c r="J67" s="95"/>
      <c r="K67" s="96"/>
    </row>
    <row r="68" spans="1:12" ht="6" customHeight="1" x14ac:dyDescent="0.2">
      <c r="A68" s="10"/>
      <c r="B68" s="11"/>
      <c r="C68" s="12"/>
      <c r="D68" s="10"/>
      <c r="E68" s="11"/>
      <c r="F68" s="11"/>
      <c r="G68" s="12"/>
      <c r="H68" s="11"/>
      <c r="I68" s="11"/>
      <c r="J68" s="11"/>
      <c r="K68" s="12"/>
    </row>
    <row r="69" spans="1:12" ht="3.6" customHeight="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1:12" ht="12" customHeight="1" x14ac:dyDescent="0.2">
      <c r="A70" s="5"/>
      <c r="B70" s="5"/>
      <c r="C70" s="5"/>
      <c r="D70" s="5"/>
      <c r="E70" s="5"/>
      <c r="F70" s="5"/>
      <c r="G70" s="5"/>
      <c r="H70" s="5"/>
      <c r="I70" s="5"/>
      <c r="J70" s="78" t="s">
        <v>37</v>
      </c>
      <c r="K70" s="78"/>
    </row>
    <row r="73" spans="1:12" x14ac:dyDescent="0.2">
      <c r="D73" s="23"/>
      <c r="E73" s="23"/>
      <c r="F73" s="23"/>
      <c r="G73" s="23"/>
      <c r="H73" s="7"/>
      <c r="I73" s="7"/>
    </row>
    <row r="74" spans="1:12" x14ac:dyDescent="0.2">
      <c r="D74" s="7"/>
      <c r="E74" s="7"/>
      <c r="F74" s="7"/>
      <c r="G74" s="7"/>
      <c r="H74" s="7"/>
      <c r="I74" s="7"/>
    </row>
    <row r="75" spans="1:12" x14ac:dyDescent="0.2">
      <c r="D75" s="7"/>
      <c r="E75" s="7"/>
      <c r="F75" s="7"/>
      <c r="G75" s="7"/>
      <c r="H75" s="7"/>
      <c r="I75" s="25"/>
      <c r="J75" s="25"/>
      <c r="K75" s="25"/>
      <c r="L75" s="7"/>
    </row>
    <row r="76" spans="1:12" x14ac:dyDescent="0.2">
      <c r="D76" s="7"/>
      <c r="E76" s="25"/>
      <c r="F76" s="25"/>
      <c r="G76" s="25"/>
      <c r="H76" s="25"/>
      <c r="I76" s="7"/>
      <c r="J76" s="7"/>
      <c r="K76" s="7"/>
      <c r="L76" s="7"/>
    </row>
    <row r="77" spans="1:12" x14ac:dyDescent="0.2">
      <c r="D77" s="7"/>
      <c r="E77" s="7"/>
      <c r="F77" s="7"/>
      <c r="G77" s="7"/>
      <c r="H77" s="7"/>
      <c r="I77" s="7"/>
      <c r="J77" s="7"/>
      <c r="K77" s="7"/>
      <c r="L77" s="7"/>
    </row>
  </sheetData>
  <mergeCells count="50">
    <mergeCell ref="A23:D23"/>
    <mergeCell ref="G13:K13"/>
    <mergeCell ref="J70:K70"/>
    <mergeCell ref="B7:J7"/>
    <mergeCell ref="G10:I10"/>
    <mergeCell ref="J10:K10"/>
    <mergeCell ref="B8:J8"/>
    <mergeCell ref="G9:H9"/>
    <mergeCell ref="I9:K9"/>
    <mergeCell ref="G11:I11"/>
    <mergeCell ref="J11:K11"/>
    <mergeCell ref="G12:H12"/>
    <mergeCell ref="I12:K12"/>
    <mergeCell ref="A67:C67"/>
    <mergeCell ref="D67:G67"/>
    <mergeCell ref="H67:K67"/>
    <mergeCell ref="A22:D22"/>
    <mergeCell ref="A16:B16"/>
    <mergeCell ref="C16:D16"/>
    <mergeCell ref="E16:F16"/>
    <mergeCell ref="G16:H16"/>
    <mergeCell ref="I16:J16"/>
    <mergeCell ref="I17:J17"/>
    <mergeCell ref="A19:D19"/>
    <mergeCell ref="G17:H17"/>
    <mergeCell ref="A17:B17"/>
    <mergeCell ref="C17:D17"/>
    <mergeCell ref="E17:F17"/>
    <mergeCell ref="A65:C65"/>
    <mergeCell ref="D65:G65"/>
    <mergeCell ref="H65:K65"/>
    <mergeCell ref="A34:A50"/>
    <mergeCell ref="C55:H55"/>
    <mergeCell ref="A61:K63"/>
    <mergeCell ref="A9:A11"/>
    <mergeCell ref="B9:F11"/>
    <mergeCell ref="A15:B15"/>
    <mergeCell ref="C15:K15"/>
    <mergeCell ref="A31:D31"/>
    <mergeCell ref="A25:D25"/>
    <mergeCell ref="A24:D24"/>
    <mergeCell ref="A26:D26"/>
    <mergeCell ref="A27:D27"/>
    <mergeCell ref="A28:D28"/>
    <mergeCell ref="A29:D29"/>
    <mergeCell ref="A30:D30"/>
    <mergeCell ref="A21:D21"/>
    <mergeCell ref="A20:D20"/>
    <mergeCell ref="A12:B13"/>
    <mergeCell ref="C12:F13"/>
  </mergeCells>
  <pageMargins left="0.82677165354330717" right="0.9055118110236221" top="0.78740157480314965" bottom="0.31496062992125984" header="0" footer="0"/>
  <pageSetup scale="82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PESO ESP SEC HUM</vt:lpstr>
      <vt:lpstr>'PESO ESP SEC HUM'!Área_de_impresión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LuisTamayo</dc:creator>
  <cp:lastModifiedBy>Tecnica 2</cp:lastModifiedBy>
  <cp:lastPrinted>2012-08-14T19:18:40Z</cp:lastPrinted>
  <dcterms:created xsi:type="dcterms:W3CDTF">2009-12-29T17:11:12Z</dcterms:created>
  <dcterms:modified xsi:type="dcterms:W3CDTF">2015-10-12T18:13:32Z</dcterms:modified>
</cp:coreProperties>
</file>